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fill in" sheetId="1" state="visible" r:id="rId1"/>
    <sheet name="Spot check"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1"/>
    </font>
    <font>
      <name val="Arial"/>
    </font>
    <font>
      <name val="Arial"/>
      <b val="1"/>
      <color rgb="00FFFFFF"/>
    </font>
    <font>
      <name val="Arial"/>
      <color rgb="000563C1"/>
      <u val="single"/>
    </font>
    <font>
      <name val="Arial"/>
      <b val="1"/>
    </font>
  </fonts>
  <fills count="4">
    <fill>
      <patternFill/>
    </fill>
    <fill>
      <patternFill patternType="gray125"/>
    </fill>
    <fill>
      <patternFill patternType="solid">
        <fgColor rgb="001F3A5F"/>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wrapText="1"/>
    </xf>
    <xf numFmtId="0" fontId="4" fillId="2" borderId="0"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5" fillId="0" borderId="1" pivotButton="0" quotePrefix="0" xfId="0"/>
    <xf numFmtId="0" fontId="3" fillId="3" borderId="1" pivotButton="0" quotePrefix="0" xfId="0"/>
    <xf numFmtId="0" fontId="6" fillId="0" borderId="0" applyAlignment="1" pivotButton="0" quotePrefix="0" xfId="0">
      <alignment horizontal="right"/>
    </xf>
    <xf numFmtId="0" fontId="6" fillId="0" borderId="0" applyAlignment="1" pivotButton="0" quotePrefix="0" xfId="0">
      <alignment horizontal="center"/>
    </xf>
    <xf numFmtId="9" fontId="6"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CoolCairo</author>
  </authors>
  <commentList>
    <comment ref="F23" authorId="0" shapeId="0">
      <text>
        <t>Rows marked Unsure are left out of the agreement figure.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30.050225,31.337705,80m/data=!3m1!1e3" TargetMode="External" Id="rId1" /><Relationship Type="http://schemas.openxmlformats.org/officeDocument/2006/relationships/hyperlink" Target="https://www.google.com/maps/@30.064576,31.338088,80m/data=!3m1!1e3" TargetMode="External" Id="rId2" /><Relationship Type="http://schemas.openxmlformats.org/officeDocument/2006/relationships/hyperlink" Target="https://www.google.com/maps/@30.060094,31.333287,80m/data=!3m1!1e3" TargetMode="External" Id="rId3" /><Relationship Type="http://schemas.openxmlformats.org/officeDocument/2006/relationships/hyperlink" Target="https://www.google.com/maps/@30.059669,31.335369,80m/data=!3m1!1e3" TargetMode="External" Id="rId4" /><Relationship Type="http://schemas.openxmlformats.org/officeDocument/2006/relationships/hyperlink" Target="https://www.google.com/maps/@30.053850,31.338993,80m/data=!3m1!1e3" TargetMode="External" Id="rId5" /><Relationship Type="http://schemas.openxmlformats.org/officeDocument/2006/relationships/hyperlink" Target="https://www.google.com/maps/@30.049828,31.327755,80m/data=!3m1!1e3" TargetMode="External" Id="rId6" /><Relationship Type="http://schemas.openxmlformats.org/officeDocument/2006/relationships/hyperlink" Target="https://www.google.com/maps/@30.052034,31.330933,80m/data=!3m1!1e3" TargetMode="External" Id="rId7" /><Relationship Type="http://schemas.openxmlformats.org/officeDocument/2006/relationships/hyperlink" Target="https://www.google.com/maps/@30.064968,31.340571,80m/data=!3m1!1e3" TargetMode="External" Id="rId8" /><Relationship Type="http://schemas.openxmlformats.org/officeDocument/2006/relationships/hyperlink" Target="https://www.google.com/maps/@30.065586,31.339523,80m/data=!3m1!1e3" TargetMode="External" Id="rId9" /><Relationship Type="http://schemas.openxmlformats.org/officeDocument/2006/relationships/hyperlink" Target="https://www.google.com/maps/@30.068105,31.346120,80m/data=!3m1!1e3" TargetMode="External" Id="rId10" /><Relationship Type="http://schemas.openxmlformats.org/officeDocument/2006/relationships/hyperlink" Target="https://www.google.com/maps/@30.061705,31.339380,80m/data=!3m1!1e3" TargetMode="External" Id="rId11" /><Relationship Type="http://schemas.openxmlformats.org/officeDocument/2006/relationships/hyperlink" Target="https://www.google.com/maps/@30.050889,31.326078,80m/data=!3m1!1e3" TargetMode="External" Id="rId12" /><Relationship Type="http://schemas.openxmlformats.org/officeDocument/2006/relationships/hyperlink" Target="https://www.google.com/maps/@30.054050,31.340545,80m/data=!3m1!1e3" TargetMode="External" Id="rId13" /><Relationship Type="http://schemas.openxmlformats.org/officeDocument/2006/relationships/hyperlink" Target="https://www.google.com/maps/@30.052676,31.324700,80m/data=!3m1!1e3" TargetMode="External" Id="rId14" /><Relationship Type="http://schemas.openxmlformats.org/officeDocument/2006/relationships/hyperlink" Target="https://www.google.com/maps/@30.059868,31.343975,80m/data=!3m1!1e3" TargetMode="External" Id="rId15" /><Relationship Type="http://schemas.openxmlformats.org/officeDocument/2006/relationships/hyperlink" Target="https://www.google.com/maps/@30.060129,31.328930,80m/data=!3m1!1e3" TargetMode="External" Id="rId16" /><Relationship Type="http://schemas.openxmlformats.org/officeDocument/2006/relationships/hyperlink" Target="https://www.google.com/maps/@30.059642,31.326138,80m/data=!3m1!1e3" TargetMode="External" Id="rId17" /><Relationship Type="http://schemas.openxmlformats.org/officeDocument/2006/relationships/hyperlink" Target="https://www.google.com/maps/@30.059259,31.338591,80m/data=!3m1!1e3" TargetMode="External" Id="rId18" /><Relationship Type="http://schemas.openxmlformats.org/officeDocument/2006/relationships/hyperlink" Target="https://www.google.com/maps/@30.065253,31.327496,80m/data=!3m1!1e3" TargetMode="External" Id="rId19" /><Relationship Type="http://schemas.openxmlformats.org/officeDocument/2006/relationships/hyperlink" Target="https://www.google.com/maps/@30.068018,31.324960,80m/data=!3m1!1e3" TargetMode="External" Id="rId2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s="1" t="inlineStr">
        <is>
          <t>CoolCairo: M2 spot check</t>
        </is>
      </c>
    </row>
    <row r="2">
      <c r="A2" s="2" t="inlineStr"/>
    </row>
    <row r="3">
      <c r="A3" s="2" t="inlineStr">
        <is>
          <t>What this is</t>
        </is>
      </c>
      <c r="B3" s="3" t="inlineStr">
        <is>
          <t>Our pipeline labels every 10 m patch of Nasr City from satellite data. This sheet checks 20 random points by eye against high-resolution imagery.</t>
        </is>
      </c>
    </row>
    <row r="4">
      <c r="A4" s="2" t="inlineStr">
        <is>
          <t>Time needed</t>
        </is>
      </c>
      <c r="B4" s="3" t="inlineStr">
        <is>
          <t>About 20-30 minutes. No technical knowledge needed.</t>
        </is>
      </c>
    </row>
    <row r="5">
      <c r="A5" s="2" t="inlineStr">
        <is>
          <t>Steps</t>
        </is>
      </c>
      <c r="B5" s="3" t="inlineStr">
        <is>
          <t>1. Go to the 'Spot check' tab.
2. For each row, click 'Open satellite view' (opens Google Maps at the point).
3. Look at what is exactly at the centre of the map.
4. Pick what you see from the dropdown in the yellow column. Do not look at the 'Pipeline says' column first, to avoid bias.
5. If you cannot tell, choose 'Unsure / can't tell' and add a note.</t>
        </is>
      </c>
    </row>
    <row r="6">
      <c r="A6" s="2" t="inlineStr">
        <is>
          <t>Only edit</t>
        </is>
      </c>
      <c r="B6" s="3" t="inlineStr">
        <is>
          <t>The yellow cells: 'What you see' and 'Notes'. Everything else is filled in automatically.</t>
        </is>
      </c>
    </row>
    <row r="7">
      <c r="A7" s="2" t="inlineStr"/>
    </row>
    <row r="8">
      <c r="A8" s="2" t="inlineStr">
        <is>
          <t>Categories</t>
        </is>
      </c>
    </row>
    <row r="9">
      <c r="A9" s="2" t="inlineStr">
        <is>
          <t>Vegetation</t>
        </is>
      </c>
      <c r="B9" s="3" t="inlineStr">
        <is>
          <t>Trees, grass, gardens, green fields</t>
        </is>
      </c>
    </row>
    <row r="10">
      <c r="A10" s="2" t="inlineStr">
        <is>
          <t>Dark surface</t>
        </is>
      </c>
      <c r="B10" s="3" t="inlineStr">
        <is>
          <t>Asphalt road, dark roof, dark paving</t>
        </is>
      </c>
    </row>
    <row r="11">
      <c r="A11" s="2" t="inlineStr">
        <is>
          <t>Bright surface</t>
        </is>
      </c>
      <c r="B11" s="3" t="inlineStr">
        <is>
          <t>Pale concrete roof, light paving, white/beige building tops</t>
        </is>
      </c>
    </row>
    <row r="12">
      <c r="A12" s="2" t="inlineStr">
        <is>
          <t>Bare soil / sand</t>
        </is>
      </c>
      <c r="B12" s="3" t="inlineStr">
        <is>
          <t>Empty sandy or dusty land, unbuilt plots, desert</t>
        </is>
      </c>
    </row>
    <row r="13">
      <c r="A13" s="2" t="inlineStr">
        <is>
          <t>Unsure / can't tell</t>
        </is>
      </c>
      <c r="B13" s="3" t="inlineStr">
        <is>
          <t>Clouds, blurry imagery, or a point exactly on an edge</t>
        </is>
      </c>
    </row>
    <row r="14">
      <c r="A14" s="2" t="inlineStr"/>
    </row>
    <row r="15">
      <c r="A15" s="2" t="inlineStr">
        <is>
          <t>Example (not counted)</t>
        </is>
      </c>
      <c r="B15" s="3" t="inlineStr">
        <is>
          <t>Point on a wide asphalt road -&gt; choose 'Dark surface'; note: 'road, Abbas El Akkad 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11" customWidth="1" min="3" max="3"/>
    <col width="22" customWidth="1" min="4" max="4"/>
    <col width="18" customWidth="1" min="5" max="5"/>
    <col width="26" customWidth="1" min="6" max="6"/>
    <col width="9" customWidth="1" min="7" max="7"/>
    <col width="40" customWidth="1" min="8" max="8"/>
  </cols>
  <sheetData>
    <row r="1" ht="30" customHeight="1">
      <c r="A1" s="4" t="inlineStr">
        <is>
          <t>#</t>
        </is>
      </c>
      <c r="B1" s="4" t="inlineStr">
        <is>
          <t>Latitude</t>
        </is>
      </c>
      <c r="C1" s="4" t="inlineStr">
        <is>
          <t>Longitude</t>
        </is>
      </c>
      <c r="D1" s="4" t="inlineStr">
        <is>
          <t>Open in Google Maps</t>
        </is>
      </c>
      <c r="E1" s="4" t="inlineStr">
        <is>
          <t>Pipeline says</t>
        </is>
      </c>
      <c r="F1" s="4" t="inlineStr">
        <is>
          <t>What you see (choose)</t>
        </is>
      </c>
      <c r="G1" s="4" t="inlineStr">
        <is>
          <t>Match?</t>
        </is>
      </c>
      <c r="H1" s="4" t="inlineStr">
        <is>
          <t>Notes (optional)</t>
        </is>
      </c>
    </row>
    <row r="2">
      <c r="A2" s="5" t="n">
        <v>1</v>
      </c>
      <c r="B2" s="6" t="n">
        <v>30.050225</v>
      </c>
      <c r="C2" s="6" t="n">
        <v>31.337705</v>
      </c>
      <c r="D2" s="7" t="inlineStr">
        <is>
          <t>Open satellite view</t>
        </is>
      </c>
      <c r="E2" s="6" t="inlineStr">
        <is>
          <t>Vegetation</t>
        </is>
      </c>
      <c r="F2" s="8" t="n"/>
      <c r="G2" s="5">
        <f>IF(OR(F2="",F2="Unsure / can't tell"),"",IF(F2=E2,"Yes","No"))</f>
        <v/>
      </c>
      <c r="H2" s="8" t="n"/>
    </row>
    <row r="3">
      <c r="A3" s="5" t="n">
        <v>2</v>
      </c>
      <c r="B3" s="6" t="n">
        <v>30.064576</v>
      </c>
      <c r="C3" s="6" t="n">
        <v>31.338088</v>
      </c>
      <c r="D3" s="7" t="inlineStr">
        <is>
          <t>Open satellite view</t>
        </is>
      </c>
      <c r="E3" s="6" t="inlineStr">
        <is>
          <t>Bare soil / sand</t>
        </is>
      </c>
      <c r="F3" s="8" t="n"/>
      <c r="G3" s="5">
        <f>IF(OR(F3="",F3="Unsure / can't tell"),"",IF(F3=E3,"Yes","No"))</f>
        <v/>
      </c>
      <c r="H3" s="8" t="n"/>
    </row>
    <row r="4">
      <c r="A4" s="5" t="n">
        <v>3</v>
      </c>
      <c r="B4" s="6" t="n">
        <v>30.060094</v>
      </c>
      <c r="C4" s="6" t="n">
        <v>31.333287</v>
      </c>
      <c r="D4" s="7" t="inlineStr">
        <is>
          <t>Open satellite view</t>
        </is>
      </c>
      <c r="E4" s="6" t="inlineStr">
        <is>
          <t>Bare soil / sand</t>
        </is>
      </c>
      <c r="F4" s="8" t="n"/>
      <c r="G4" s="5">
        <f>IF(OR(F4="",F4="Unsure / can't tell"),"",IF(F4=E4,"Yes","No"))</f>
        <v/>
      </c>
      <c r="H4" s="8" t="n"/>
    </row>
    <row r="5">
      <c r="A5" s="5" t="n">
        <v>4</v>
      </c>
      <c r="B5" s="6" t="n">
        <v>30.059669</v>
      </c>
      <c r="C5" s="6" t="n">
        <v>31.335369</v>
      </c>
      <c r="D5" s="7" t="inlineStr">
        <is>
          <t>Open satellite view</t>
        </is>
      </c>
      <c r="E5" s="6" t="inlineStr">
        <is>
          <t>Vegetation</t>
        </is>
      </c>
      <c r="F5" s="8" t="n"/>
      <c r="G5" s="5">
        <f>IF(OR(F5="",F5="Unsure / can't tell"),"",IF(F5=E5,"Yes","No"))</f>
        <v/>
      </c>
      <c r="H5" s="8" t="n"/>
    </row>
    <row r="6">
      <c r="A6" s="5" t="n">
        <v>5</v>
      </c>
      <c r="B6" s="6" t="n">
        <v>30.05385</v>
      </c>
      <c r="C6" s="6" t="n">
        <v>31.338993</v>
      </c>
      <c r="D6" s="7" t="inlineStr">
        <is>
          <t>Open satellite view</t>
        </is>
      </c>
      <c r="E6" s="6" t="inlineStr">
        <is>
          <t>Dark surface</t>
        </is>
      </c>
      <c r="F6" s="8" t="n"/>
      <c r="G6" s="5">
        <f>IF(OR(F6="",F6="Unsure / can't tell"),"",IF(F6=E6,"Yes","No"))</f>
        <v/>
      </c>
      <c r="H6" s="8" t="n"/>
    </row>
    <row r="7">
      <c r="A7" s="5" t="n">
        <v>6</v>
      </c>
      <c r="B7" s="6" t="n">
        <v>30.049828</v>
      </c>
      <c r="C7" s="6" t="n">
        <v>31.327755</v>
      </c>
      <c r="D7" s="7" t="inlineStr">
        <is>
          <t>Open satellite view</t>
        </is>
      </c>
      <c r="E7" s="6" t="inlineStr">
        <is>
          <t>Dark surface</t>
        </is>
      </c>
      <c r="F7" s="8" t="n"/>
      <c r="G7" s="5">
        <f>IF(OR(F7="",F7="Unsure / can't tell"),"",IF(F7=E7,"Yes","No"))</f>
        <v/>
      </c>
      <c r="H7" s="8" t="n"/>
    </row>
    <row r="8">
      <c r="A8" s="5" t="n">
        <v>7</v>
      </c>
      <c r="B8" s="6" t="n">
        <v>30.052034</v>
      </c>
      <c r="C8" s="6" t="n">
        <v>31.330933</v>
      </c>
      <c r="D8" s="7" t="inlineStr">
        <is>
          <t>Open satellite view</t>
        </is>
      </c>
      <c r="E8" s="6" t="inlineStr">
        <is>
          <t>Bright surface</t>
        </is>
      </c>
      <c r="F8" s="8" t="n"/>
      <c r="G8" s="5">
        <f>IF(OR(F8="",F8="Unsure / can't tell"),"",IF(F8=E8,"Yes","No"))</f>
        <v/>
      </c>
      <c r="H8" s="8" t="n"/>
    </row>
    <row r="9">
      <c r="A9" s="5" t="n">
        <v>8</v>
      </c>
      <c r="B9" s="6" t="n">
        <v>30.064968</v>
      </c>
      <c r="C9" s="6" t="n">
        <v>31.340571</v>
      </c>
      <c r="D9" s="7" t="inlineStr">
        <is>
          <t>Open satellite view</t>
        </is>
      </c>
      <c r="E9" s="6" t="inlineStr">
        <is>
          <t>Vegetation</t>
        </is>
      </c>
      <c r="F9" s="8" t="n"/>
      <c r="G9" s="5">
        <f>IF(OR(F9="",F9="Unsure / can't tell"),"",IF(F9=E9,"Yes","No"))</f>
        <v/>
      </c>
      <c r="H9" s="8" t="n"/>
    </row>
    <row r="10">
      <c r="A10" s="5" t="n">
        <v>9</v>
      </c>
      <c r="B10" s="6" t="n">
        <v>30.065586</v>
      </c>
      <c r="C10" s="6" t="n">
        <v>31.339523</v>
      </c>
      <c r="D10" s="7" t="inlineStr">
        <is>
          <t>Open satellite view</t>
        </is>
      </c>
      <c r="E10" s="6" t="inlineStr">
        <is>
          <t>Bare soil / sand</t>
        </is>
      </c>
      <c r="F10" s="8" t="n"/>
      <c r="G10" s="5">
        <f>IF(OR(F10="",F10="Unsure / can't tell"),"",IF(F10=E10,"Yes","No"))</f>
        <v/>
      </c>
      <c r="H10" s="8" t="n"/>
    </row>
    <row r="11">
      <c r="A11" s="5" t="n">
        <v>10</v>
      </c>
      <c r="B11" s="6" t="n">
        <v>30.068105</v>
      </c>
      <c r="C11" s="6" t="n">
        <v>31.34612</v>
      </c>
      <c r="D11" s="7" t="inlineStr">
        <is>
          <t>Open satellite view</t>
        </is>
      </c>
      <c r="E11" s="6" t="inlineStr">
        <is>
          <t>Bare soil / sand</t>
        </is>
      </c>
      <c r="F11" s="8" t="n"/>
      <c r="G11" s="5">
        <f>IF(OR(F11="",F11="Unsure / can't tell"),"",IF(F11=E11,"Yes","No"))</f>
        <v/>
      </c>
      <c r="H11" s="8" t="n"/>
    </row>
    <row r="12">
      <c r="A12" s="5" t="n">
        <v>11</v>
      </c>
      <c r="B12" s="6" t="n">
        <v>30.061705</v>
      </c>
      <c r="C12" s="6" t="n">
        <v>31.33938</v>
      </c>
      <c r="D12" s="7" t="inlineStr">
        <is>
          <t>Open satellite view</t>
        </is>
      </c>
      <c r="E12" s="6" t="inlineStr">
        <is>
          <t>Bright surface</t>
        </is>
      </c>
      <c r="F12" s="8" t="n"/>
      <c r="G12" s="5">
        <f>IF(OR(F12="",F12="Unsure / can't tell"),"",IF(F12=E12,"Yes","No"))</f>
        <v/>
      </c>
      <c r="H12" s="8" t="n"/>
    </row>
    <row r="13">
      <c r="A13" s="5" t="n">
        <v>12</v>
      </c>
      <c r="B13" s="6" t="n">
        <v>30.050889</v>
      </c>
      <c r="C13" s="6" t="n">
        <v>31.326078</v>
      </c>
      <c r="D13" s="7" t="inlineStr">
        <is>
          <t>Open satellite view</t>
        </is>
      </c>
      <c r="E13" s="6" t="inlineStr">
        <is>
          <t>Vegetation</t>
        </is>
      </c>
      <c r="F13" s="8" t="n"/>
      <c r="G13" s="5">
        <f>IF(OR(F13="",F13="Unsure / can't tell"),"",IF(F13=E13,"Yes","No"))</f>
        <v/>
      </c>
      <c r="H13" s="8" t="n"/>
    </row>
    <row r="14">
      <c r="A14" s="5" t="n">
        <v>13</v>
      </c>
      <c r="B14" s="6" t="n">
        <v>30.05405</v>
      </c>
      <c r="C14" s="6" t="n">
        <v>31.340545</v>
      </c>
      <c r="D14" s="7" t="inlineStr">
        <is>
          <t>Open satellite view</t>
        </is>
      </c>
      <c r="E14" s="6" t="inlineStr">
        <is>
          <t>Dark surface</t>
        </is>
      </c>
      <c r="F14" s="8" t="n"/>
      <c r="G14" s="5">
        <f>IF(OR(F14="",F14="Unsure / can't tell"),"",IF(F14=E14,"Yes","No"))</f>
        <v/>
      </c>
      <c r="H14" s="8" t="n"/>
    </row>
    <row r="15">
      <c r="A15" s="5" t="n">
        <v>14</v>
      </c>
      <c r="B15" s="6" t="n">
        <v>30.052676</v>
      </c>
      <c r="C15" s="6" t="n">
        <v>31.3247</v>
      </c>
      <c r="D15" s="7" t="inlineStr">
        <is>
          <t>Open satellite view</t>
        </is>
      </c>
      <c r="E15" s="6" t="inlineStr">
        <is>
          <t>Bare soil / sand</t>
        </is>
      </c>
      <c r="F15" s="8" t="n"/>
      <c r="G15" s="5">
        <f>IF(OR(F15="",F15="Unsure / can't tell"),"",IF(F15=E15,"Yes","No"))</f>
        <v/>
      </c>
      <c r="H15" s="8" t="n"/>
    </row>
    <row r="16">
      <c r="A16" s="5" t="n">
        <v>15</v>
      </c>
      <c r="B16" s="6" t="n">
        <v>30.059868</v>
      </c>
      <c r="C16" s="6" t="n">
        <v>31.343975</v>
      </c>
      <c r="D16" s="7" t="inlineStr">
        <is>
          <t>Open satellite view</t>
        </is>
      </c>
      <c r="E16" s="6" t="inlineStr">
        <is>
          <t>Vegetation</t>
        </is>
      </c>
      <c r="F16" s="8" t="n"/>
      <c r="G16" s="5">
        <f>IF(OR(F16="",F16="Unsure / can't tell"),"",IF(F16=E16,"Yes","No"))</f>
        <v/>
      </c>
      <c r="H16" s="8" t="n"/>
    </row>
    <row r="17">
      <c r="A17" s="5" t="n">
        <v>16</v>
      </c>
      <c r="B17" s="6" t="n">
        <v>30.060129</v>
      </c>
      <c r="C17" s="6" t="n">
        <v>31.32893</v>
      </c>
      <c r="D17" s="7" t="inlineStr">
        <is>
          <t>Open satellite view</t>
        </is>
      </c>
      <c r="E17" s="6" t="inlineStr">
        <is>
          <t>Bright surface</t>
        </is>
      </c>
      <c r="F17" s="8" t="n"/>
      <c r="G17" s="5">
        <f>IF(OR(F17="",F17="Unsure / can't tell"),"",IF(F17=E17,"Yes","No"))</f>
        <v/>
      </c>
      <c r="H17" s="8" t="n"/>
    </row>
    <row r="18">
      <c r="A18" s="5" t="n">
        <v>17</v>
      </c>
      <c r="B18" s="6" t="n">
        <v>30.059642</v>
      </c>
      <c r="C18" s="6" t="n">
        <v>31.326138</v>
      </c>
      <c r="D18" s="7" t="inlineStr">
        <is>
          <t>Open satellite view</t>
        </is>
      </c>
      <c r="E18" s="6" t="inlineStr">
        <is>
          <t>Dark surface</t>
        </is>
      </c>
      <c r="F18" s="8" t="n"/>
      <c r="G18" s="5">
        <f>IF(OR(F18="",F18="Unsure / can't tell"),"",IF(F18=E18,"Yes","No"))</f>
        <v/>
      </c>
      <c r="H18" s="8" t="n"/>
    </row>
    <row r="19">
      <c r="A19" s="5" t="n">
        <v>18</v>
      </c>
      <c r="B19" s="6" t="n">
        <v>30.059259</v>
      </c>
      <c r="C19" s="6" t="n">
        <v>31.338591</v>
      </c>
      <c r="D19" s="7" t="inlineStr">
        <is>
          <t>Open satellite view</t>
        </is>
      </c>
      <c r="E19" s="6" t="inlineStr">
        <is>
          <t>Bright surface</t>
        </is>
      </c>
      <c r="F19" s="8" t="n"/>
      <c r="G19" s="5">
        <f>IF(OR(F19="",F19="Unsure / can't tell"),"",IF(F19=E19,"Yes","No"))</f>
        <v/>
      </c>
      <c r="H19" s="8" t="n"/>
    </row>
    <row r="20">
      <c r="A20" s="5" t="n">
        <v>19</v>
      </c>
      <c r="B20" s="6" t="n">
        <v>30.065253</v>
      </c>
      <c r="C20" s="6" t="n">
        <v>31.327496</v>
      </c>
      <c r="D20" s="7" t="inlineStr">
        <is>
          <t>Open satellite view</t>
        </is>
      </c>
      <c r="E20" s="6" t="inlineStr">
        <is>
          <t>Bright surface</t>
        </is>
      </c>
      <c r="F20" s="8" t="n"/>
      <c r="G20" s="5">
        <f>IF(OR(F20="",F20="Unsure / can't tell"),"",IF(F20=E20,"Yes","No"))</f>
        <v/>
      </c>
      <c r="H20" s="8" t="n"/>
    </row>
    <row r="21">
      <c r="A21" s="5" t="n">
        <v>20</v>
      </c>
      <c r="B21" s="6" t="n">
        <v>30.068018</v>
      </c>
      <c r="C21" s="6" t="n">
        <v>31.32496</v>
      </c>
      <c r="D21" s="7" t="inlineStr">
        <is>
          <t>Open satellite view</t>
        </is>
      </c>
      <c r="E21" s="6" t="inlineStr">
        <is>
          <t>Dark surface</t>
        </is>
      </c>
      <c r="F21" s="8" t="n"/>
      <c r="G21" s="5">
        <f>IF(OR(F21="",F21="Unsure / can't tell"),"",IF(F21=E21,"Yes","No"))</f>
        <v/>
      </c>
      <c r="H21" s="8" t="n"/>
    </row>
    <row r="23">
      <c r="A23" s="9" t="inlineStr">
        <is>
          <t>Points checked (excluding Unsure)</t>
        </is>
      </c>
      <c r="F23" s="10">
        <f>COUNTIF(G2:G21,"Yes")+COUNTIF(G2:G21,"No")</f>
        <v/>
      </c>
    </row>
    <row r="24">
      <c r="A24" s="9" t="inlineStr">
        <is>
          <t>Matches</t>
        </is>
      </c>
      <c r="F24" s="10">
        <f>COUNTIF(G2:G21,"Yes")</f>
        <v/>
      </c>
    </row>
    <row r="25">
      <c r="A25" s="9" t="inlineStr">
        <is>
          <t>Agreement</t>
        </is>
      </c>
      <c r="F25" s="11">
        <f>IF(F23=0,"",F24/F23)</f>
        <v/>
      </c>
    </row>
  </sheetData>
  <mergeCells count="3">
    <mergeCell ref="A23:E23"/>
    <mergeCell ref="A25:E25"/>
    <mergeCell ref="A24:E24"/>
  </mergeCells>
  <dataValidations count="1">
    <dataValidation sqref="F2 F3 F4 F5 F6 F7 F8 F9 F10 F11 F12 F13 F14 F15 F16 F17 F18 F19 F20 F21" showDropDown="0" showInputMessage="0" showErrorMessage="0" allowBlank="1" type="list">
      <formula1>"Vegetation,Dark surface,Bright surface,Bare soil / sand,Unsure / can't tell"</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2026-09-30T18:37:43Z</dcterms:created>
  <dcterms:modified xsi:type="dcterms:W3CDTF">2026-09-30T18:37:43Z</dcterms:modified>
</cp:coreProperties>
</file>