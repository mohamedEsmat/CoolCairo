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fill in" sheetId="1" state="visible" r:id="rId1"/>
    <sheet name="Spot check"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1"/>
    </font>
    <font>
      <name val="Arial"/>
    </font>
    <font>
      <name val="Arial"/>
      <b val="1"/>
      <color rgb="00FFFFFF"/>
    </font>
    <font>
      <name val="Arial"/>
      <color rgb="000563C1"/>
      <u val="single"/>
    </font>
    <font>
      <name val="Arial"/>
      <b val="1"/>
    </font>
  </fonts>
  <fills count="4">
    <fill>
      <patternFill/>
    </fill>
    <fill>
      <patternFill patternType="gray125"/>
    </fill>
    <fill>
      <patternFill patternType="solid">
        <fgColor rgb="001F3A5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5" fillId="0" borderId="1" pivotButton="0" quotePrefix="0" xfId="0"/>
    <xf numFmtId="0" fontId="3" fillId="3" borderId="1" pivotButton="0" quotePrefix="0" xfId="0"/>
    <xf numFmtId="0" fontId="6" fillId="0" borderId="0" applyAlignment="1" pivotButton="0" quotePrefix="0" xfId="0">
      <alignment horizontal="right"/>
    </xf>
    <xf numFmtId="0" fontId="6" fillId="0" borderId="0" applyAlignment="1" pivotButton="0" quotePrefix="0" xfId="0">
      <alignment horizontal="center"/>
    </xf>
    <xf numFmtId="9" fontId="6"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CoolCairo</author>
  </authors>
  <commentList>
    <comment ref="F23" authorId="0" shapeId="0">
      <text>
        <t>Rows marked Unsure are left out of the agreement figure.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oogle.com/maps/@30.050225,31.337705,80m/data=!3m1!1e3" TargetMode="External" Id="rId1" /><Relationship Type="http://schemas.openxmlformats.org/officeDocument/2006/relationships/hyperlink" Target="https://www.google.com/maps/@30.064576,31.338088,80m/data=!3m1!1e3" TargetMode="External" Id="rId2" /><Relationship Type="http://schemas.openxmlformats.org/officeDocument/2006/relationships/hyperlink" Target="https://www.google.com/maps/@30.060094,31.333287,80m/data=!3m1!1e3" TargetMode="External" Id="rId3" /><Relationship Type="http://schemas.openxmlformats.org/officeDocument/2006/relationships/hyperlink" Target="https://www.google.com/maps/@30.059669,31.335369,80m/data=!3m1!1e3" TargetMode="External" Id="rId4" /><Relationship Type="http://schemas.openxmlformats.org/officeDocument/2006/relationships/hyperlink" Target="https://www.google.com/maps/@30.053850,31.338993,80m/data=!3m1!1e3" TargetMode="External" Id="rId5" /><Relationship Type="http://schemas.openxmlformats.org/officeDocument/2006/relationships/hyperlink" Target="https://www.google.com/maps/@30.049828,31.327755,80m/data=!3m1!1e3" TargetMode="External" Id="rId6" /><Relationship Type="http://schemas.openxmlformats.org/officeDocument/2006/relationships/hyperlink" Target="https://www.google.com/maps/@30.052034,31.330933,80m/data=!3m1!1e3" TargetMode="External" Id="rId7" /><Relationship Type="http://schemas.openxmlformats.org/officeDocument/2006/relationships/hyperlink" Target="https://www.google.com/maps/@30.064968,31.340571,80m/data=!3m1!1e3" TargetMode="External" Id="rId8" /><Relationship Type="http://schemas.openxmlformats.org/officeDocument/2006/relationships/hyperlink" Target="https://www.google.com/maps/@30.065586,31.339523,80m/data=!3m1!1e3" TargetMode="External" Id="rId9" /><Relationship Type="http://schemas.openxmlformats.org/officeDocument/2006/relationships/hyperlink" Target="https://www.google.com/maps/@30.068105,31.346120,80m/data=!3m1!1e3" TargetMode="External" Id="rId10" /><Relationship Type="http://schemas.openxmlformats.org/officeDocument/2006/relationships/hyperlink" Target="https://www.google.com/maps/@30.061705,31.339380,80m/data=!3m1!1e3" TargetMode="External" Id="rId11" /><Relationship Type="http://schemas.openxmlformats.org/officeDocument/2006/relationships/hyperlink" Target="https://www.google.com/maps/@30.050889,31.326078,80m/data=!3m1!1e3" TargetMode="External" Id="rId12" /><Relationship Type="http://schemas.openxmlformats.org/officeDocument/2006/relationships/hyperlink" Target="https://www.google.com/maps/@30.054050,31.340545,80m/data=!3m1!1e3" TargetMode="External" Id="rId13" /><Relationship Type="http://schemas.openxmlformats.org/officeDocument/2006/relationships/hyperlink" Target="https://www.google.com/maps/@30.052676,31.324700,80m/data=!3m1!1e3" TargetMode="External" Id="rId14" /><Relationship Type="http://schemas.openxmlformats.org/officeDocument/2006/relationships/hyperlink" Target="https://www.google.com/maps/@30.059868,31.343975,80m/data=!3m1!1e3" TargetMode="External" Id="rId15" /><Relationship Type="http://schemas.openxmlformats.org/officeDocument/2006/relationships/hyperlink" Target="https://www.google.com/maps/@30.060129,31.328930,80m/data=!3m1!1e3" TargetMode="External" Id="rId16" /><Relationship Type="http://schemas.openxmlformats.org/officeDocument/2006/relationships/hyperlink" Target="https://www.google.com/maps/@30.059642,31.326138,80m/data=!3m1!1e3" TargetMode="External" Id="rId17" /><Relationship Type="http://schemas.openxmlformats.org/officeDocument/2006/relationships/hyperlink" Target="https://www.google.com/maps/@30.059259,31.338591,80m/data=!3m1!1e3" TargetMode="External" Id="rId18" /><Relationship Type="http://schemas.openxmlformats.org/officeDocument/2006/relationships/hyperlink" Target="https://www.google.com/maps/@30.065253,31.327496,80m/data=!3m1!1e3" TargetMode="External" Id="rId19" /><Relationship Type="http://schemas.openxmlformats.org/officeDocument/2006/relationships/hyperlink" Target="https://www.google.com/maps/@30.068018,31.324960,80m/data=!3m1!1e3" TargetMode="External" Id="rId2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s="1" t="inlineStr">
        <is>
          <t>CoolCairo: M2 spot check</t>
        </is>
      </c>
    </row>
    <row r="2">
      <c r="A2" s="2" t="inlineStr"/>
    </row>
    <row r="3">
      <c r="A3" s="2" t="inlineStr">
        <is>
          <t>What this is</t>
        </is>
      </c>
      <c r="B3" s="3" t="inlineStr">
        <is>
          <t>Our pipeline labels every 10 m patch of Nasr City from satellite data. This sheet checks 20 random points by eye against high-resolution imagery.</t>
        </is>
      </c>
    </row>
    <row r="4">
      <c r="A4" s="2" t="inlineStr">
        <is>
          <t>Time needed</t>
        </is>
      </c>
      <c r="B4" s="3" t="inlineStr">
        <is>
          <t>About 20-30 minutes. No technical knowledge needed.</t>
        </is>
      </c>
    </row>
    <row r="5">
      <c r="A5" s="2" t="inlineStr">
        <is>
          <t>Steps</t>
        </is>
      </c>
      <c r="B5" s="3" t="inlineStr">
        <is>
          <t>1. Go to the 'Spot check' tab.
2. For each row, click 'Open satellite view' (opens Google Maps at the point).
3. Look at what is exactly at the centre of the map.
4. Pick what you see from the dropdown in the yellow column. Do not look at the 'Pipeline says' column first, to avoid bias.
5. If you cannot tell, choose 'Unsure / can't tell' and add a note.</t>
        </is>
      </c>
    </row>
    <row r="6">
      <c r="A6" s="2" t="inlineStr">
        <is>
          <t>Only edit</t>
        </is>
      </c>
      <c r="B6" s="3" t="inlineStr">
        <is>
          <t>The yellow cells: 'What you see' and 'Notes'. Everything else is filled in automatically.</t>
        </is>
      </c>
    </row>
    <row r="7">
      <c r="A7" s="2" t="inlineStr"/>
    </row>
    <row r="8">
      <c r="A8" s="2" t="inlineStr">
        <is>
          <t>Categories</t>
        </is>
      </c>
    </row>
    <row r="9">
      <c r="A9" s="2" t="inlineStr">
        <is>
          <t>Vegetation</t>
        </is>
      </c>
      <c r="B9" s="3" t="inlineStr">
        <is>
          <t>Trees, grass, gardens, green fields</t>
        </is>
      </c>
    </row>
    <row r="10">
      <c r="A10" s="2" t="inlineStr">
        <is>
          <t>Dark surface</t>
        </is>
      </c>
      <c r="B10" s="3" t="inlineStr">
        <is>
          <t>Asphalt road, dark roof, dark paving</t>
        </is>
      </c>
    </row>
    <row r="11">
      <c r="A11" s="2" t="inlineStr">
        <is>
          <t>Bright surface</t>
        </is>
      </c>
      <c r="B11" s="3" t="inlineStr">
        <is>
          <t>Pale concrete roof, light paving, white/beige building tops</t>
        </is>
      </c>
    </row>
    <row r="12">
      <c r="A12" s="2" t="inlineStr">
        <is>
          <t>Bare soil / sand</t>
        </is>
      </c>
      <c r="B12" s="3" t="inlineStr">
        <is>
          <t>Empty sandy or dusty land, unbuilt plots, desert</t>
        </is>
      </c>
    </row>
    <row r="13">
      <c r="A13" s="2" t="inlineStr">
        <is>
          <t>Unsure / can't tell</t>
        </is>
      </c>
      <c r="B13" s="3" t="inlineStr">
        <is>
          <t>Clouds, blurry imagery, or a point exactly on an edge</t>
        </is>
      </c>
    </row>
    <row r="14">
      <c r="A14" s="2" t="inlineStr"/>
    </row>
    <row r="15">
      <c r="A15" s="2" t="inlineStr">
        <is>
          <t>Example (not counted)</t>
        </is>
      </c>
      <c r="B15" s="3" t="inlineStr">
        <is>
          <t>Point on a wide asphalt road -&gt; choose 'Dark surface'; note: 'road, Abbas El Akkad 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1" customWidth="1" min="3" max="3"/>
    <col width="22" customWidth="1" min="4" max="4"/>
    <col width="18" customWidth="1" min="5" max="5"/>
    <col width="26" customWidth="1" min="6" max="6"/>
    <col width="9" customWidth="1" min="7" max="7"/>
    <col width="40" customWidth="1" min="8" max="8"/>
  </cols>
  <sheetData>
    <row r="1" ht="30" customHeight="1">
      <c r="A1" s="4" t="inlineStr">
        <is>
          <t>#</t>
        </is>
      </c>
      <c r="B1" s="4" t="inlineStr">
        <is>
          <t>Latitude</t>
        </is>
      </c>
      <c r="C1" s="4" t="inlineStr">
        <is>
          <t>Longitude</t>
        </is>
      </c>
      <c r="D1" s="4" t="inlineStr">
        <is>
          <t>Open in Google Maps</t>
        </is>
      </c>
      <c r="E1" s="4" t="inlineStr">
        <is>
          <t>Pipeline says</t>
        </is>
      </c>
      <c r="F1" s="4" t="inlineStr">
        <is>
          <t>What you see (choose)</t>
        </is>
      </c>
      <c r="G1" s="4" t="inlineStr">
        <is>
          <t>Match?</t>
        </is>
      </c>
      <c r="H1" s="4" t="inlineStr">
        <is>
          <t>Notes (optional)</t>
        </is>
      </c>
    </row>
    <row r="2">
      <c r="A2" s="5" t="n">
        <v>1</v>
      </c>
      <c r="B2" s="6" t="n">
        <v>30.050225</v>
      </c>
      <c r="C2" s="6" t="n">
        <v>31.337705</v>
      </c>
      <c r="D2" s="7" t="inlineStr">
        <is>
          <t>Open satellite view</t>
        </is>
      </c>
      <c r="E2" s="6" t="inlineStr">
        <is>
          <t>Vegetation</t>
        </is>
      </c>
      <c r="F2" s="8" t="inlineStr">
        <is>
          <t>Vegetation</t>
        </is>
      </c>
      <c r="G2" s="5">
        <f>IF(OR(F2="",F2="Unsure / can't tell"),"",IF(F2=E2,"Yes","No"))</f>
        <v/>
      </c>
      <c r="H2" s="8" t="inlineStr">
        <is>
          <t>Grass and trees, International Garden park. [Checked 5 Oct 2026 by Claude (AI assistant) in Google Maps satellite view; Airbus imagery 2026; not blind]</t>
        </is>
      </c>
    </row>
    <row r="3">
      <c r="A3" s="5" t="n">
        <v>2</v>
      </c>
      <c r="B3" s="6" t="n">
        <v>30.064576</v>
      </c>
      <c r="C3" s="6" t="n">
        <v>31.338088</v>
      </c>
      <c r="D3" s="7" t="inlineStr">
        <is>
          <t>Open satellite view</t>
        </is>
      </c>
      <c r="E3" s="6" t="inlineStr">
        <is>
          <t>Bare soil / sand</t>
        </is>
      </c>
      <c r="F3" s="8" t="inlineStr">
        <is>
          <t>Bare soil / sand</t>
        </is>
      </c>
      <c r="G3" s="5">
        <f>IF(OR(F3="",F3="Unsure / can't tell"),"",IF(F3=E3,"Yes","No"))</f>
        <v/>
      </c>
      <c r="H3" s="8" t="inlineStr">
        <is>
          <t>Open dusty yard beside Seoudi supermarket, cars parked; unpaved-looking (could be dusty paving). [Checked 5 Oct 2026 by Claude (AI assistant) in Google Maps satellite view; Airbus imagery 2026; not blind]</t>
        </is>
      </c>
    </row>
    <row r="4">
      <c r="A4" s="5" t="n">
        <v>3</v>
      </c>
      <c r="B4" s="6" t="n">
        <v>30.060094</v>
      </c>
      <c r="C4" s="6" t="n">
        <v>31.333287</v>
      </c>
      <c r="D4" s="7" t="inlineStr">
        <is>
          <t>Open satellite view</t>
        </is>
      </c>
      <c r="E4" s="6" t="inlineStr">
        <is>
          <t>Bare soil / sand</t>
        </is>
      </c>
      <c r="F4" s="8" t="inlineStr">
        <is>
          <t>Dark surface</t>
        </is>
      </c>
      <c r="G4" s="5">
        <f>IF(OR(F4="",F4="Unsure / can't tell"),"",IF(F4=E4,"Yes","No"))</f>
        <v/>
      </c>
      <c r="H4" s="8" t="inlineStr">
        <is>
          <t>Carriageway of Ibrahim Shawqi St: dusty grey asphalt next to parked buses. [Checked 5 Oct 2026 by Claude (AI assistant) in Google Maps satellite view; Airbus imagery 2026; not blind]</t>
        </is>
      </c>
    </row>
    <row r="5">
      <c r="A5" s="5" t="n">
        <v>4</v>
      </c>
      <c r="B5" s="6" t="n">
        <v>30.059669</v>
      </c>
      <c r="C5" s="6" t="n">
        <v>31.335369</v>
      </c>
      <c r="D5" s="7" t="inlineStr">
        <is>
          <t>Open satellite view</t>
        </is>
      </c>
      <c r="E5" s="6" t="inlineStr">
        <is>
          <t>Vegetation</t>
        </is>
      </c>
      <c r="F5" s="8" t="inlineStr">
        <is>
          <t>Vegetation</t>
        </is>
      </c>
      <c r="G5" s="5">
        <f>IF(OR(F5="",F5="Unsure / can't tell"),"",IF(F5=E5,"Yes","No"))</f>
        <v/>
      </c>
      <c r="H5" s="8" t="inlineStr">
        <is>
          <t>Tree canopy in a walled garden plot. [Checked 5 Oct 2026 by Claude (AI assistant) in Google Maps satellite view; Airbus imagery 2026; not blind]</t>
        </is>
      </c>
    </row>
    <row r="6">
      <c r="A6" s="5" t="n">
        <v>5</v>
      </c>
      <c r="B6" s="6" t="n">
        <v>30.05385</v>
      </c>
      <c r="C6" s="6" t="n">
        <v>31.338993</v>
      </c>
      <c r="D6" s="7" t="inlineStr">
        <is>
          <t>Open satellite view</t>
        </is>
      </c>
      <c r="E6" s="6" t="inlineStr">
        <is>
          <t>Dark surface</t>
        </is>
      </c>
      <c r="F6" s="8" t="inlineStr">
        <is>
          <t>Dark surface</t>
        </is>
      </c>
      <c r="G6" s="5">
        <f>IF(OR(F6="",F6="Unsure / can't tell"),"",IF(F6=E6,"Yes","No"))</f>
        <v/>
      </c>
      <c r="H6" s="8" t="inlineStr">
        <is>
          <t>Asphalt carriageway, Mostafa El-Nahaas St. [Checked 5 Oct 2026 by Claude (AI assistant) in Google Maps satellite view; Airbus imagery 2026; not blind]</t>
        </is>
      </c>
    </row>
    <row r="7">
      <c r="A7" s="5" t="n">
        <v>6</v>
      </c>
      <c r="B7" s="6" t="n">
        <v>30.049828</v>
      </c>
      <c r="C7" s="6" t="n">
        <v>31.327755</v>
      </c>
      <c r="D7" s="7" t="inlineStr">
        <is>
          <t>Open satellite view</t>
        </is>
      </c>
      <c r="E7" s="6" t="inlineStr">
        <is>
          <t>Dark surface</t>
        </is>
      </c>
      <c r="F7" s="8" t="inlineStr">
        <is>
          <t>Dark surface</t>
        </is>
      </c>
      <c r="G7" s="5">
        <f>IF(OR(F7="",F7="Unsure / can't tell"),"",IF(F7=E7,"Yes","No"))</f>
        <v/>
      </c>
      <c r="H7" s="8" t="inlineStr">
        <is>
          <t>Asphalt carriageway, Abd Allah El-Araby St. [Checked 5 Oct 2026 by Claude (AI assistant) in Google Maps satellite view; Airbus imagery 2026; not blind]</t>
        </is>
      </c>
    </row>
    <row r="8">
      <c r="A8" s="5" t="n">
        <v>7</v>
      </c>
      <c r="B8" s="6" t="n">
        <v>30.052034</v>
      </c>
      <c r="C8" s="6" t="n">
        <v>31.330933</v>
      </c>
      <c r="D8" s="7" t="inlineStr">
        <is>
          <t>Open satellite view</t>
        </is>
      </c>
      <c r="E8" s="6" t="inlineStr">
        <is>
          <t>Bright surface</t>
        </is>
      </c>
      <c r="F8" s="8" t="inlineStr">
        <is>
          <t>Unsure / can't tell</t>
        </is>
      </c>
      <c r="G8" s="5">
        <f>IF(OR(F8="",F8="Unsure / can't tell"),"",IF(F8=E8,"Yes","No"))</f>
        <v/>
      </c>
      <c r="H8" s="8" t="inlineStr">
        <is>
          <t>Narrow dusty strip between a tree hedge and a small building; mixed within 10 m. [Checked 5 Oct 2026 by Claude (AI assistant) in Google Maps satellite view; Airbus imagery 2026; not blind]</t>
        </is>
      </c>
    </row>
    <row r="9">
      <c r="A9" s="5" t="n">
        <v>8</v>
      </c>
      <c r="B9" s="6" t="n">
        <v>30.064968</v>
      </c>
      <c r="C9" s="6" t="n">
        <v>31.340571</v>
      </c>
      <c r="D9" s="7" t="inlineStr">
        <is>
          <t>Open satellite view</t>
        </is>
      </c>
      <c r="E9" s="6" t="inlineStr">
        <is>
          <t>Vegetation</t>
        </is>
      </c>
      <c r="F9" s="8" t="inlineStr">
        <is>
          <t>Vegetation</t>
        </is>
      </c>
      <c r="G9" s="5">
        <f>IF(OR(F9="",F9="Unsure / can't tell"),"",IF(F9=E9,"Yes","No"))</f>
        <v/>
      </c>
      <c r="H9" s="8" t="inlineStr">
        <is>
          <t>Edge of tree canopy and a sandy path in a small tree park (mostly trees). [Checked 5 Oct 2026 by Claude (AI assistant) in Google Maps satellite view; Airbus imagery 2026; not blind]</t>
        </is>
      </c>
    </row>
    <row r="10">
      <c r="A10" s="5" t="n">
        <v>9</v>
      </c>
      <c r="B10" s="6" t="n">
        <v>30.065586</v>
      </c>
      <c r="C10" s="6" t="n">
        <v>31.339523</v>
      </c>
      <c r="D10" s="7" t="inlineStr">
        <is>
          <t>Open satellite view</t>
        </is>
      </c>
      <c r="E10" s="6" t="inlineStr">
        <is>
          <t>Bare soil / sand</t>
        </is>
      </c>
      <c r="F10" s="8" t="inlineStr">
        <is>
          <t>Bright surface</t>
        </is>
      </c>
      <c r="G10" s="5">
        <f>IF(OR(F10="",F10="Unsure / can't tell"),"",IF(F10=E10,"Yes","No"))</f>
        <v/>
      </c>
      <c r="H10" s="8" t="inlineStr">
        <is>
          <t>Dusty beige concrete rooftop (inside a building footprint). [Checked 5 Oct 2026 by Claude (AI assistant) in Google Maps satellite view; Airbus imagery 2026; not blind]</t>
        </is>
      </c>
    </row>
    <row r="11">
      <c r="A11" s="5" t="n">
        <v>10</v>
      </c>
      <c r="B11" s="6" t="n">
        <v>30.068105</v>
      </c>
      <c r="C11" s="6" t="n">
        <v>31.34612</v>
      </c>
      <c r="D11" s="7" t="inlineStr">
        <is>
          <t>Open satellite view</t>
        </is>
      </c>
      <c r="E11" s="6" t="inlineStr">
        <is>
          <t>Bare soil / sand</t>
        </is>
      </c>
      <c r="F11" s="8" t="inlineStr">
        <is>
          <t>Bare soil / sand</t>
        </is>
      </c>
      <c r="G11" s="5">
        <f>IF(OR(F11="",F11="Unsure / can't tell"),"",IF(F11=E11,"Yes","No"))</f>
        <v/>
      </c>
      <c r="H11" s="8" t="inlineStr">
        <is>
          <t>Large vacant sandy lot, just inside its southern wall. [Checked 5 Oct 2026 by Claude (AI assistant) in Google Maps satellite view; Airbus imagery 2026; not blind]</t>
        </is>
      </c>
    </row>
    <row r="12">
      <c r="A12" s="5" t="n">
        <v>11</v>
      </c>
      <c r="B12" s="6" t="n">
        <v>30.061705</v>
      </c>
      <c r="C12" s="6" t="n">
        <v>31.33938</v>
      </c>
      <c r="D12" s="7" t="inlineStr">
        <is>
          <t>Open satellite view</t>
        </is>
      </c>
      <c r="E12" s="6" t="inlineStr">
        <is>
          <t>Bright surface</t>
        </is>
      </c>
      <c r="F12" s="8" t="inlineStr">
        <is>
          <t>Bright surface</t>
        </is>
      </c>
      <c r="G12" s="5">
        <f>IF(OR(F12="",F12="Unsure / can't tell"),"",IF(F12=E12,"Yes","No"))</f>
        <v/>
      </c>
      <c r="H12" s="8" t="inlineStr">
        <is>
          <t>Pale concrete rooftops, on the edge between two roofs. [Checked 5 Oct 2026 by Claude (AI assistant) in Google Maps satellite view; Airbus imagery 2026; not blind]</t>
        </is>
      </c>
    </row>
    <row r="13">
      <c r="A13" s="5" t="n">
        <v>12</v>
      </c>
      <c r="B13" s="6" t="n">
        <v>30.050889</v>
      </c>
      <c r="C13" s="6" t="n">
        <v>31.326078</v>
      </c>
      <c r="D13" s="7" t="inlineStr">
        <is>
          <t>Open satellite view</t>
        </is>
      </c>
      <c r="E13" s="6" t="inlineStr">
        <is>
          <t>Vegetation</t>
        </is>
      </c>
      <c r="F13" s="8" t="inlineStr">
        <is>
          <t>Vegetation</t>
        </is>
      </c>
      <c r="G13" s="5">
        <f>IF(OR(F13="",F13="Unsure / can't tell"),"",IF(F13=E13,"Yes","No"))</f>
        <v/>
      </c>
      <c r="H13" s="8" t="inlineStr">
        <is>
          <t>Grass and trees in a park. [Checked 5 Oct 2026 by Claude (AI assistant) in Google Maps satellite view; Airbus imagery 2026; not blind]</t>
        </is>
      </c>
    </row>
    <row r="14">
      <c r="A14" s="5" t="n">
        <v>13</v>
      </c>
      <c r="B14" s="6" t="n">
        <v>30.05405</v>
      </c>
      <c r="C14" s="6" t="n">
        <v>31.340545</v>
      </c>
      <c r="D14" s="7" t="inlineStr">
        <is>
          <t>Open satellite view</t>
        </is>
      </c>
      <c r="E14" s="6" t="inlineStr">
        <is>
          <t>Dark surface</t>
        </is>
      </c>
      <c r="F14" s="8" t="inlineStr">
        <is>
          <t>Dark surface</t>
        </is>
      </c>
      <c r="G14" s="5">
        <f>IF(OR(F14="",F14="Unsure / can't tell"),"",IF(F14=E14,"Yes","No"))</f>
        <v/>
      </c>
      <c r="H14" s="8" t="inlineStr">
        <is>
          <t>Asphalt carriageway, Mostafa El-Nahaas St. [Checked 5 Oct 2026 by Claude (AI assistant) in Google Maps satellite view; Airbus imagery 2026; not blind]</t>
        </is>
      </c>
    </row>
    <row r="15">
      <c r="A15" s="5" t="n">
        <v>14</v>
      </c>
      <c r="B15" s="6" t="n">
        <v>30.052676</v>
      </c>
      <c r="C15" s="6" t="n">
        <v>31.3247</v>
      </c>
      <c r="D15" s="7" t="inlineStr">
        <is>
          <t>Open satellite view</t>
        </is>
      </c>
      <c r="E15" s="6" t="inlineStr">
        <is>
          <t>Bare soil / sand</t>
        </is>
      </c>
      <c r="F15" s="8" t="inlineStr">
        <is>
          <t>Bare soil / sand</t>
        </is>
      </c>
      <c r="G15" s="5">
        <f>IF(OR(F15="",F15="Unsure / can't tell"),"",IF(F15=E15,"Yes","No"))</f>
        <v/>
      </c>
      <c r="H15" s="8" t="inlineStr">
        <is>
          <t>Unpaved dirt ground beside a road ramp, vehicles parked on it. [Checked 5 Oct 2026 by Claude (AI assistant) in Google Maps satellite view; Airbus imagery 2026; not blind]</t>
        </is>
      </c>
    </row>
    <row r="16">
      <c r="A16" s="5" t="n">
        <v>15</v>
      </c>
      <c r="B16" s="6" t="n">
        <v>30.059868</v>
      </c>
      <c r="C16" s="6" t="n">
        <v>31.343975</v>
      </c>
      <c r="D16" s="7" t="inlineStr">
        <is>
          <t>Open satellite view</t>
        </is>
      </c>
      <c r="E16" s="6" t="inlineStr">
        <is>
          <t>Vegetation</t>
        </is>
      </c>
      <c r="F16" s="8" t="inlineStr">
        <is>
          <t>Vegetation</t>
        </is>
      </c>
      <c r="G16" s="5">
        <f>IF(OR(F16="",F16="Unsure / can't tell"),"",IF(F16=E16,"Yes","No"))</f>
        <v/>
      </c>
      <c r="H16" s="8" t="inlineStr">
        <is>
          <t>Dense tree canopy in a park. [Checked 5 Oct 2026 by Claude (AI assistant) in Google Maps satellite view; Airbus imagery 2026; not blind]</t>
        </is>
      </c>
    </row>
    <row r="17">
      <c r="A17" s="5" t="n">
        <v>16</v>
      </c>
      <c r="B17" s="6" t="n">
        <v>30.060129</v>
      </c>
      <c r="C17" s="6" t="n">
        <v>31.32893</v>
      </c>
      <c r="D17" s="7" t="inlineStr">
        <is>
          <t>Open satellite view</t>
        </is>
      </c>
      <c r="E17" s="6" t="inlineStr">
        <is>
          <t>Bright surface</t>
        </is>
      </c>
      <c r="F17" s="8" t="inlineStr">
        <is>
          <t>Bright surface</t>
        </is>
      </c>
      <c r="G17" s="5">
        <f>IF(OR(F17="",F17="Unsure / can't tell"),"",IF(F17=E17,"Yes","No"))</f>
        <v/>
      </c>
      <c r="H17" s="8" t="inlineStr">
        <is>
          <t>Pale concrete rooftop. [Checked 5 Oct 2026 by Claude (AI assistant) in Google Maps satellite view; Airbus imagery 2026; not blind]</t>
        </is>
      </c>
    </row>
    <row r="18">
      <c r="A18" s="5" t="n">
        <v>17</v>
      </c>
      <c r="B18" s="6" t="n">
        <v>30.059642</v>
      </c>
      <c r="C18" s="6" t="n">
        <v>31.326138</v>
      </c>
      <c r="D18" s="7" t="inlineStr">
        <is>
          <t>Open satellite view</t>
        </is>
      </c>
      <c r="E18" s="6" t="inlineStr">
        <is>
          <t>Dark surface</t>
        </is>
      </c>
      <c r="F18" s="8" t="inlineStr">
        <is>
          <t>Dark surface</t>
        </is>
      </c>
      <c r="G18" s="5">
        <f>IF(OR(F18="",F18="Unsure / can't tell"),"",IF(F18=E18,"Yes","No"))</f>
        <v/>
      </c>
      <c r="H18" s="8" t="inlineStr">
        <is>
          <t>Asphalt carriageway, El Tayaran St. [Checked 5 Oct 2026 by Claude (AI assistant) in Google Maps satellite view; Airbus imagery 2026; not blind]</t>
        </is>
      </c>
    </row>
    <row r="19">
      <c r="A19" s="5" t="n">
        <v>18</v>
      </c>
      <c r="B19" s="6" t="n">
        <v>30.059259</v>
      </c>
      <c r="C19" s="6" t="n">
        <v>31.338591</v>
      </c>
      <c r="D19" s="7" t="inlineStr">
        <is>
          <t>Open satellite view</t>
        </is>
      </c>
      <c r="E19" s="6" t="inlineStr">
        <is>
          <t>Bright surface</t>
        </is>
      </c>
      <c r="F19" s="8" t="inlineStr">
        <is>
          <t>Bright surface</t>
        </is>
      </c>
      <c r="G19" s="5">
        <f>IF(OR(F19="",F19="Unsure / can't tell"),"",IF(F19=E19,"Yes","No"))</f>
        <v/>
      </c>
      <c r="H19" s="8" t="inlineStr">
        <is>
          <t>Pale paved sidewalk between a building and Mohammed Hussein Haykal St (edge). [Checked 5 Oct 2026 by Claude (AI assistant) in Google Maps satellite view; Airbus imagery 2026; not blind]</t>
        </is>
      </c>
    </row>
    <row r="20">
      <c r="A20" s="5" t="n">
        <v>19</v>
      </c>
      <c r="B20" s="6" t="n">
        <v>30.065253</v>
      </c>
      <c r="C20" s="6" t="n">
        <v>31.327496</v>
      </c>
      <c r="D20" s="7" t="inlineStr">
        <is>
          <t>Open satellite view</t>
        </is>
      </c>
      <c r="E20" s="6" t="inlineStr">
        <is>
          <t>Bright surface</t>
        </is>
      </c>
      <c r="F20" s="8" t="inlineStr">
        <is>
          <t>Unsure / can't tell</t>
        </is>
      </c>
      <c r="G20" s="5">
        <f>IF(OR(F20="",F20="Unsure / can't tell"),"",IF(F20=E20,"Yes","No"))</f>
        <v/>
      </c>
      <c r="H20" s="8" t="inlineStr">
        <is>
          <t>Deep shadow in a narrow gap between two buildings; material not visible. [Checked 5 Oct 2026 by Claude (AI assistant) in Google Maps satellite view; Airbus imagery 2026; not blind]</t>
        </is>
      </c>
    </row>
    <row r="21">
      <c r="A21" s="5" t="n">
        <v>20</v>
      </c>
      <c r="B21" s="6" t="n">
        <v>30.068018</v>
      </c>
      <c r="C21" s="6" t="n">
        <v>31.32496</v>
      </c>
      <c r="D21" s="7" t="inlineStr">
        <is>
          <t>Open satellite view</t>
        </is>
      </c>
      <c r="E21" s="6" t="inlineStr">
        <is>
          <t>Dark surface</t>
        </is>
      </c>
      <c r="F21" s="8" t="inlineStr">
        <is>
          <t>Dark surface</t>
        </is>
      </c>
      <c r="G21" s="5">
        <f>IF(OR(F21="",F21="Unsure / can't tell"),"",IF(F21=E21,"Yes","No"))</f>
        <v/>
      </c>
      <c r="H21" s="8" t="inlineStr">
        <is>
          <t>Asphalt carriageway, El Tayaran St. [Checked 5 Oct 2026 by Claude (AI assistant) in Google Maps satellite view; Airbus imagery 2026; not blind]</t>
        </is>
      </c>
    </row>
    <row r="23">
      <c r="A23" s="9" t="inlineStr">
        <is>
          <t>Points checked (excluding Unsure)</t>
        </is>
      </c>
      <c r="F23" s="10">
        <f>COUNTIF(G2:G21,"Yes")+COUNTIF(G2:G21,"No")</f>
        <v/>
      </c>
    </row>
    <row r="24">
      <c r="A24" s="9" t="inlineStr">
        <is>
          <t>Matches</t>
        </is>
      </c>
      <c r="F24" s="10">
        <f>COUNTIF(G2:G21,"Yes")</f>
        <v/>
      </c>
    </row>
    <row r="25">
      <c r="A25" s="9" t="inlineStr">
        <is>
          <t>Agreement</t>
        </is>
      </c>
      <c r="F25" s="11">
        <f>IF(F23=0,"",F24/F23)</f>
        <v/>
      </c>
    </row>
  </sheetData>
  <mergeCells count="3">
    <mergeCell ref="A23:E23"/>
    <mergeCell ref="A25:E25"/>
    <mergeCell ref="A24:E24"/>
  </mergeCells>
  <dataValidations count="1">
    <dataValidation sqref="F2 F3 F4 F5 F6 F7 F8 F9 F10 F11 F12 F13 F14 F15 F16 F17 F18 F19 F20 F21" showDropDown="0" showInputMessage="0" showErrorMessage="0" allowBlank="1" type="list">
      <formula1>"Vegetation,Dark surface,Bright surface,Bare soil / sand,Unsure / can't tell"</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2026-09-30T18:37:43Z</dcterms:created>
  <dcterms:modified xsi:type="dcterms:W3CDTF">2026-10-05T11:14:29Z</dcterms:modified>
</cp:coreProperties>
</file>